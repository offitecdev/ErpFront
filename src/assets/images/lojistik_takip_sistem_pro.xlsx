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y\Downloads\"/>
    </mc:Choice>
  </mc:AlternateContent>
  <xr:revisionPtr revIDLastSave="0" documentId="13_ncr:1_{1EC39476-1C13-4397-8AA4-4AD8208B05E0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ipment Tracker" sheetId="1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<sst xmlns="http://schemas.openxmlformats.org/spreadsheetml/2006/main" count="35" uniqueCount="27">
  <si>
    <t>Type (TÜR)</t>
  </si>
  <si>
    <t>Incoterm (TESLİM ŞEKLİ)</t>
  </si>
  <si>
    <t>Carrier (TAŞIYICI FİRMA)</t>
  </si>
  <si>
    <t>Pickup Date (YÜKLEME TARİHİ)</t>
  </si>
  <si>
    <t>ETD (TAHMİNİ ÇIKIŞ TARİHİ)</t>
  </si>
  <si>
    <t>ETA (TAHMİNİ VARIŞ TARİHİ)</t>
  </si>
  <si>
    <t>Status (DURUM)</t>
  </si>
  <si>
    <t>Notes (NOTLAR)</t>
  </si>
  <si>
    <t>EXW</t>
  </si>
  <si>
    <t>DHL</t>
  </si>
  <si>
    <t>Total Shipments</t>
  </si>
  <si>
    <t>Total Cost</t>
  </si>
  <si>
    <t>Export Shipments</t>
  </si>
  <si>
    <t>Import Shipments</t>
  </si>
  <si>
    <t>Shipment No             ( SEVKİYAT NO)</t>
  </si>
  <si>
    <t>From                       (ÇIKIŞ YERİ)</t>
  </si>
  <si>
    <t>To                                                   (VARIŞ YERİ )</t>
  </si>
  <si>
    <t>Cost                             (MALİYET)</t>
  </si>
  <si>
    <t>Tracking No                                                            (TAKİP NO)</t>
  </si>
  <si>
    <t>Export</t>
  </si>
  <si>
    <t>Menemen S.B.</t>
  </si>
  <si>
    <t>LİEBRÜTİ DRY COOLER</t>
  </si>
  <si>
    <t>4133 / Switzerland</t>
  </si>
  <si>
    <t>TESLİM EDİLDİ</t>
  </si>
  <si>
    <t>DHZ VE VOLTA NORD PANO-VOLTA NORD PARÇALAR-FANCOİL FİLTRELERİ</t>
  </si>
  <si>
    <t>ONETRA-MİNİVAN</t>
  </si>
  <si>
    <t>LANDİ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</si>
</sst>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2" fillId="0" borderId="0" xfId="0" applyFont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zoomScale="70" zoomScaleNormal="70" workbookViewId="0">
      <selection activeCell="G4" sqref="G4"/>
    </sheetView>
  </sheetViews>
  <sheetFormatPr defaultColWidth="9" defaultRowHeight="14.5"/>
  <cols>
    <col min="1" max="1" width="6.90625" customWidth="1"/>
    <col min="2" max="2" width="13.6328125" customWidth="1"/>
    <col min="3" max="3" width="14.26953125" customWidth="1"/>
    <col min="4" max="4" width="17.54296875" customWidth="1"/>
    <col min="5" max="5" width="13.1796875" customWidth="1"/>
    <col min="6" max="6" width="31.36328125" customWidth="1"/>
    <col min="7" max="7" width="18.90625" customWidth="1"/>
    <col min="8" max="8" width="17.81640625" customWidth="1"/>
    <col min="9" max="9" width="17.26953125" customWidth="1"/>
    <col min="10" max="10" width="14.26953125" customWidth="1"/>
    <col min="11" max="11" width="19.08984375" customWidth="1"/>
    <col min="12" max="12" width="24.90625" customWidth="1"/>
    <col min="13" max="13" width="89.453125" customWidth="1"/>
  </cols>
  <sheetData>
    <row r="1" spans="1:13" s="1" customFormat="1" ht="51.5" customHeight="1">
      <c r="A1" s="2" t="s">
        <v>14</v>
      </c>
      <c r="B1" s="2" t="s">
        <v>0</v>
      </c>
      <c r="C1" s="2" t="s">
        <v>15</v>
      </c>
      <c r="D1" s="2" t="s">
        <v>16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17</v>
      </c>
      <c r="K1" s="2" t="s">
        <v>6</v>
      </c>
      <c r="L1" s="2" t="s">
        <v>18</v>
      </c>
      <c r="M1" s="3" t="s">
        <v>7</v>
      </c>
    </row>
    <row r="2" spans="1:13" ht="23.5" customHeight="1">
      <c r="A2" s="4">
        <v>1</v>
      </c>
      <c r="B2" s="4" t="s">
        <v>19</v>
      </c>
      <c r="C2" s="4" t="s">
        <v>20</v>
      </c>
      <c r="D2" s="5" t="s">
        <v>22</v>
      </c>
      <c r="E2" s="4" t="s">
        <v>8</v>
      </c>
      <c r="F2" s="4" t="s">
        <v>9</v>
      </c>
      <c r="G2" s="6">
        <v>46150</v>
      </c>
      <c r="H2" s="6">
        <v>46150</v>
      </c>
      <c r="I2" s="4"/>
      <c r="J2" s="4"/>
      <c r="K2" s="4"/>
      <c r="L2" s="4"/>
      <c r="M2" s="7" t="s">
        <v>21</v>
      </c>
    </row>
    <row r="3" spans="1:13" ht="23.5" customHeight="1">
      <c r="A3" s="4">
        <v>2</v>
      </c>
      <c r="B3" s="4" t="s">
        <v>19</v>
      </c>
      <c r="C3" s="4" t="s">
        <v>20</v>
      </c>
      <c r="D3" s="4" t="s">
        <v>22</v>
      </c>
      <c r="E3" s="4" t="s">
        <v>8</v>
      </c>
      <c r="F3" s="4" t="s">
        <v>25</v>
      </c>
      <c r="G3" s="6">
        <v>46150</v>
      </c>
      <c r="H3" s="6">
        <v>46150</v>
      </c>
      <c r="I3" s="6">
        <v>46154</v>
      </c>
      <c r="J3" s="4"/>
      <c r="K3" s="4" t="s">
        <v>23</v>
      </c>
      <c r="L3" s="4"/>
      <c r="M3" s="4" t="s">
        <v>24</v>
      </c>
    </row>
    <row r="4" spans="1:13" ht="23.5" customHeight="1">
      <c r="A4" s="4">
        <v>3</v>
      </c>
      <c r="B4" s="4" t="s">
        <v>19</v>
      </c>
      <c r="C4" s="4" t="s">
        <v>20</v>
      </c>
      <c r="D4" s="4" t="s">
        <v>22</v>
      </c>
      <c r="E4" s="4" t="s">
        <v>8</v>
      </c>
      <c r="F4" s="4"/>
      <c r="G4" s="4"/>
      <c r="H4" s="4"/>
      <c r="I4" s="4"/>
      <c r="J4" s="4"/>
      <c r="K4" s="4"/>
      <c r="L4" s="4"/>
      <c r="M4" s="4" t="s">
        <v>26</v>
      </c>
    </row>
    <row r="5" spans="1:13" ht="2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2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2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2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2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2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2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2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2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2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2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2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2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2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2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2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2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2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2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2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</sheetData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#REF!</xm:f>
          </x14:formula1>
          <xm:sqref>E2:E1000</xm:sqref>
        </x14:dataValidation>
        <x14:dataValidation type="list" allowBlank="1" xr:uid="{00000000-0002-0000-0000-000001000000}">
          <x14:formula1>
            <xm:f>#REF!</xm:f>
          </x14:formula1>
          <xm:sqref>F2:F1000</xm:sqref>
        </x14:dataValidation>
        <x14:dataValidation type="list" allowBlank="1" xr:uid="{00000000-0002-0000-0000-000002000000}">
          <x14:formula1>
            <xm:f>#REF!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ColWidth="9" defaultRowHeight="14.5"/>
  <cols>
    <col min="1" max="1" width="20.26953125" customWidth="1"/>
    <col min="2" max="2" width="22.7265625" customWidth="1"/>
  </cols>
  <sheetData>
    <row r="1" spans="1:2">
      <c r="A1" t="s">
        <v>10</v>
      </c>
      <c r="B1">
        <f>COUNTA('Shipment Tracker'!A2:A1000)</f>
        <v>3</v>
      </c>
    </row>
    <row r="2" spans="1:2">
      <c r="A2" t="s">
        <v>11</v>
      </c>
      <c r="B2">
        <f>SUM('Shipment Tracker'!J2:J1000)</f>
        <v>0</v>
      </c>
    </row>
    <row r="3" spans="1:2">
      <c r="A3" t="s">
        <v>12</v>
      </c>
      <c r="B3">
        <f>COUNTIF('Shipment Tracker'!B2:B1000,"Export")</f>
        <v>3</v>
      </c>
    </row>
    <row r="4" spans="1:2">
      <c r="A4" t="s">
        <v>13</v>
      </c>
      <c r="B4">
        <f>COUNTIF('Shipment Tracker'!B2:B1000,"Import")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Shipment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Sumeyra Yilmaz</cp:lastModifiedBy>
  <dcterms:created xsi:type="dcterms:W3CDTF">2026-04-28T08:58:00Z</dcterms:created>
  <dcterms:modified xsi:type="dcterms:W3CDTF">2026-05-14T06:28:59Z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0FC4A40631EC4530BA7D5E7DC9C51927_12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